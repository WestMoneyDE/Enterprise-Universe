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Use of Fund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Cap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0.0%"/>
    <numFmt numFmtId="166" formatCode="#,##0.00 €"/>
  </numFmts>
  <fonts count="13">
    <font>
      <name val="Calibri"/>
      <family val="2"/>
      <color theme="1"/>
      <sz val="11"/>
      <scheme val="minor"/>
    </font>
    <font>
      <b val="1"/>
      <color rgb="00d4af37"/>
      <sz val="18"/>
    </font>
    <font>
      <color rgb="00666666"/>
      <sz val="14"/>
    </font>
    <font>
      <color rgb="00888888"/>
      <sz val="10"/>
    </font>
    <font>
      <b val="1"/>
      <sz val="14"/>
    </font>
    <font>
      <b val="1"/>
      <color rgb="00FFFFFF"/>
      <sz val="12"/>
    </font>
    <font>
      <b val="1"/>
    </font>
    <font>
      <color rgb="000000FF"/>
    </font>
    <font>
      <color rgb="00000000"/>
    </font>
    <font>
      <b val="1"/>
      <sz val="16"/>
    </font>
    <font>
      <b val="1"/>
      <color rgb="00d4af37"/>
      <sz val="12"/>
    </font>
    <font>
      <b val="1"/>
      <color rgb="0022c55e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0" pivotButton="0" quotePrefix="0" xfId="0"/>
    <xf numFmtId="164" fontId="7" fillId="0" borderId="1" pivotButton="0" quotePrefix="0" xfId="0"/>
    <xf numFmtId="164" fontId="8" fillId="0" borderId="1" pivotButton="0" quotePrefix="0" xfId="0"/>
    <xf numFmtId="165" fontId="7" fillId="0" borderId="1" pivotButton="0" quotePrefix="0" xfId="0"/>
    <xf numFmtId="0" fontId="7" fillId="0" borderId="1" pivotButton="0" quotePrefix="0" xfId="0"/>
    <xf numFmtId="0" fontId="9" fillId="0" borderId="0" pivotButton="0" quotePrefix="0" xfId="0"/>
    <xf numFmtId="0" fontId="5" fillId="2" borderId="1" pivotButton="0" quotePrefix="0" xfId="0"/>
    <xf numFmtId="0" fontId="6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ENTERPRISE UNIVERSE GMBH</t>
        </is>
      </c>
    </row>
    <row r="2">
      <c r="A2" s="2" t="inlineStr">
        <is>
          <t>5-Year Financial Projections | Seed Round €1.5M</t>
        </is>
      </c>
    </row>
    <row r="3">
      <c r="A3" s="3" t="inlineStr">
        <is>
          <t>Contact: info@enterprise-universe.com</t>
        </is>
      </c>
    </row>
    <row r="5">
      <c r="A5" s="4" t="inlineStr">
        <is>
          <t>KEY METRICS</t>
        </is>
      </c>
    </row>
    <row r="7">
      <c r="A7" s="5" t="inlineStr">
        <is>
          <t>Metric</t>
        </is>
      </c>
      <c r="B7" s="5" t="inlineStr">
        <is>
          <t>2024A</t>
        </is>
      </c>
      <c r="C7" s="5" t="inlineStr">
        <is>
          <t>2025E</t>
        </is>
      </c>
      <c r="D7" s="5" t="inlineStr">
        <is>
          <t>2026E</t>
        </is>
      </c>
      <c r="E7" s="5" t="inlineStr">
        <is>
          <t>2027E</t>
        </is>
      </c>
      <c r="F7" s="5" t="inlineStr">
        <is>
          <t>2028E</t>
        </is>
      </c>
      <c r="G7" s="5" t="inlineStr">
        <is>
          <t>2029E</t>
        </is>
      </c>
    </row>
    <row r="8">
      <c r="A8" s="6" t="inlineStr">
        <is>
          <t>Revenue (€)</t>
        </is>
      </c>
      <c r="B8" s="7" t="n">
        <v>847523</v>
      </c>
      <c r="C8" s="8">
        <f>B8*1.35</f>
        <v/>
      </c>
      <c r="D8" s="8">
        <f>C8*1.45</f>
        <v/>
      </c>
      <c r="E8" s="8">
        <f>D8*1.5</f>
        <v/>
      </c>
      <c r="F8" s="8">
        <f>E8*1.4</f>
        <v/>
      </c>
      <c r="G8" s="8">
        <f>F8*1.3</f>
        <v/>
      </c>
    </row>
    <row r="9">
      <c r="A9" s="6" t="inlineStr">
        <is>
          <t>Growth Rate (%)</t>
        </is>
      </c>
      <c r="B9" s="9" t="n">
        <v>0.235</v>
      </c>
      <c r="C9" s="9" t="n">
        <v>0.35</v>
      </c>
      <c r="D9" s="9" t="n">
        <v>0.45</v>
      </c>
      <c r="E9" s="9" t="n">
        <v>0.5</v>
      </c>
      <c r="F9" s="9" t="n">
        <v>0.4</v>
      </c>
      <c r="G9" s="9" t="n">
        <v>0.3</v>
      </c>
    </row>
    <row r="10">
      <c r="A10" s="6" t="inlineStr">
        <is>
          <t>Gross Margin (%)</t>
        </is>
      </c>
      <c r="B10" s="9" t="n">
        <v>0.42</v>
      </c>
      <c r="C10" s="9" t="n">
        <v>0.48</v>
      </c>
      <c r="D10" s="9" t="n">
        <v>0.52</v>
      </c>
      <c r="E10" s="9" t="n">
        <v>0.55</v>
      </c>
      <c r="F10" s="9" t="n">
        <v>0.58</v>
      </c>
      <c r="G10" s="9" t="n">
        <v>0.6</v>
      </c>
    </row>
    <row r="11">
      <c r="A11" s="6" t="inlineStr">
        <is>
          <t>Operating Expenses (€)</t>
        </is>
      </c>
      <c r="B11" s="7" t="n">
        <v>356000</v>
      </c>
      <c r="C11" s="8">
        <f>B11*1.25</f>
        <v/>
      </c>
      <c r="D11" s="8">
        <f>C11*1.3</f>
        <v/>
      </c>
      <c r="E11" s="8">
        <f>D11*1.2</f>
        <v/>
      </c>
      <c r="F11" s="8">
        <f>E11*1.15</f>
        <v/>
      </c>
      <c r="G11" s="8">
        <f>F11*1.1</f>
        <v/>
      </c>
    </row>
    <row r="12">
      <c r="A12" s="6" t="inlineStr">
        <is>
          <t>EBITDA (€)</t>
        </is>
      </c>
      <c r="B12" s="8">
        <f>B8*B10-B11</f>
        <v/>
      </c>
      <c r="C12" s="8">
        <f>C8*C10-C11</f>
        <v/>
      </c>
      <c r="D12" s="8">
        <f>D8*D10-D11</f>
        <v/>
      </c>
      <c r="E12" s="8">
        <f>E8*E10-E11</f>
        <v/>
      </c>
      <c r="F12" s="8">
        <f>F8*F10-F11</f>
        <v/>
      </c>
      <c r="G12" s="8">
        <f>G8*G10-G11</f>
        <v/>
      </c>
    </row>
    <row r="13">
      <c r="A13" s="6" t="inlineStr">
        <is>
          <t>EBITDA Margin (%)</t>
        </is>
      </c>
      <c r="B13" s="8">
        <f>B12/B8</f>
        <v/>
      </c>
      <c r="C13" s="8">
        <f>C12/C8</f>
        <v/>
      </c>
      <c r="D13" s="8">
        <f>D12/D8</f>
        <v/>
      </c>
      <c r="E13" s="8">
        <f>E12/E8</f>
        <v/>
      </c>
      <c r="F13" s="8">
        <f>F12/F8</f>
        <v/>
      </c>
      <c r="G13" s="8">
        <f>G12/G8</f>
        <v/>
      </c>
    </row>
    <row r="14">
      <c r="A14" s="6" t="inlineStr">
        <is>
          <t>Net Income (€)</t>
        </is>
      </c>
      <c r="B14" s="8">
        <f>B12*0.7</f>
        <v/>
      </c>
      <c r="C14" s="8">
        <f>C12*0.7</f>
        <v/>
      </c>
      <c r="D14" s="8">
        <f>D12*0.7</f>
        <v/>
      </c>
      <c r="E14" s="8">
        <f>E12*0.72</f>
        <v/>
      </c>
      <c r="F14" s="8">
        <f>F12*0.73</f>
        <v/>
      </c>
      <c r="G14" s="8">
        <f>G12*0.75</f>
        <v/>
      </c>
    </row>
    <row r="15">
      <c r="A15" s="6" t="inlineStr">
        <is>
          <t>Employees (FTE)</t>
        </is>
      </c>
      <c r="B15" s="10" t="n">
        <v>8</v>
      </c>
      <c r="C15" s="10" t="n">
        <v>15</v>
      </c>
      <c r="D15" s="10" t="n">
        <v>28</v>
      </c>
      <c r="E15" s="10" t="n">
        <v>45</v>
      </c>
      <c r="F15" s="10" t="n">
        <v>65</v>
      </c>
      <c r="G15" s="10" t="n">
        <v>85</v>
      </c>
    </row>
    <row r="16">
      <c r="A16" s="6" t="inlineStr">
        <is>
          <t>Customers</t>
        </is>
      </c>
      <c r="B16" s="10" t="n">
        <v>280</v>
      </c>
      <c r="C16" s="10" t="n">
        <v>450</v>
      </c>
      <c r="D16" s="10" t="n">
        <v>720</v>
      </c>
      <c r="E16" s="10" t="n">
        <v>1100</v>
      </c>
      <c r="F16" s="10" t="n">
        <v>1600</v>
      </c>
      <c r="G16" s="10" t="n">
        <v>2200</v>
      </c>
    </row>
    <row r="17">
      <c r="A17" s="6" t="inlineStr">
        <is>
          <t>MRR (€)</t>
        </is>
      </c>
      <c r="B17" s="7" t="n">
        <v>70627</v>
      </c>
      <c r="C17" s="8">
        <f>C8/12</f>
        <v/>
      </c>
      <c r="D17" s="8">
        <f>D8/12</f>
        <v/>
      </c>
      <c r="E17" s="8">
        <f>E8/12</f>
        <v/>
      </c>
      <c r="F17" s="8">
        <f>F8/12</f>
        <v/>
      </c>
      <c r="G17" s="8">
        <f>G8/12</f>
        <v/>
      </c>
    </row>
    <row r="18">
      <c r="A18" s="6" t="inlineStr">
        <is>
          <t>ARR (€)</t>
        </is>
      </c>
      <c r="B18" s="7" t="n">
        <v>847523</v>
      </c>
      <c r="C18" s="8">
        <f>C8</f>
        <v/>
      </c>
      <c r="D18" s="8">
        <f>D8</f>
        <v/>
      </c>
      <c r="E18" s="8">
        <f>E8</f>
        <v/>
      </c>
      <c r="F18" s="8">
        <f>F8</f>
        <v/>
      </c>
      <c r="G18" s="8">
        <f>G8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REVENUE MODEL</t>
        </is>
      </c>
    </row>
    <row r="3">
      <c r="A3" s="12" t="inlineStr">
        <is>
          <t>Revenue Stream</t>
        </is>
      </c>
      <c r="B3" s="12" t="inlineStr">
        <is>
          <t>2024A</t>
        </is>
      </c>
      <c r="C3" s="12" t="inlineStr">
        <is>
          <t>2025E</t>
        </is>
      </c>
      <c r="D3" s="12" t="inlineStr">
        <is>
          <t>2026E</t>
        </is>
      </c>
      <c r="E3" s="12" t="inlineStr">
        <is>
          <t>2027E</t>
        </is>
      </c>
      <c r="F3" s="12" t="inlineStr">
        <is>
          <t>2028E</t>
        </is>
      </c>
      <c r="G3" s="12" t="inlineStr">
        <is>
          <t>2029E</t>
        </is>
      </c>
    </row>
    <row r="4">
      <c r="A4" s="13" t="inlineStr">
        <is>
          <t>Smart Home Projects (€)</t>
        </is>
      </c>
      <c r="B4" s="7" t="n">
        <v>450000</v>
      </c>
      <c r="C4" s="7" t="n">
        <v>550000</v>
      </c>
      <c r="D4" s="7" t="n">
        <v>750000</v>
      </c>
      <c r="E4" s="7" t="n">
        <v>1000000</v>
      </c>
      <c r="F4" s="7" t="n">
        <v>1400000</v>
      </c>
      <c r="G4" s="7" t="n">
        <v>1800000</v>
      </c>
    </row>
    <row r="5">
      <c r="A5" s="13" t="inlineStr">
        <is>
          <t>SaaS Subscriptions (€)</t>
        </is>
      </c>
      <c r="B5" s="7" t="n">
        <v>120000</v>
      </c>
      <c r="C5" s="7" t="n">
        <v>280000</v>
      </c>
      <c r="D5" s="7" t="n">
        <v>580000</v>
      </c>
      <c r="E5" s="7" t="n">
        <v>1100000</v>
      </c>
      <c r="F5" s="7" t="n">
        <v>1800000</v>
      </c>
      <c r="G5" s="7" t="n">
        <v>2600000</v>
      </c>
    </row>
    <row r="6">
      <c r="A6" s="13" t="inlineStr">
        <is>
          <t>LOXONE Services (€)</t>
        </is>
      </c>
      <c r="B6" s="7" t="n">
        <v>180000</v>
      </c>
      <c r="C6" s="7" t="n">
        <v>250000</v>
      </c>
      <c r="D6" s="7" t="n">
        <v>380000</v>
      </c>
      <c r="E6" s="7" t="n">
        <v>520000</v>
      </c>
      <c r="F6" s="7" t="n">
        <v>700000</v>
      </c>
      <c r="G6" s="7" t="n">
        <v>900000</v>
      </c>
    </row>
    <row r="7">
      <c r="A7" s="13" t="inlineStr">
        <is>
          <t>Consulting &amp; Training (€)</t>
        </is>
      </c>
      <c r="B7" s="7" t="n">
        <v>97523</v>
      </c>
      <c r="C7" s="7" t="n">
        <v>150000</v>
      </c>
      <c r="D7" s="7" t="n">
        <v>230000</v>
      </c>
      <c r="E7" s="7" t="n">
        <v>350000</v>
      </c>
      <c r="F7" s="7" t="n">
        <v>500000</v>
      </c>
      <c r="G7" s="7" t="n">
        <v>700000</v>
      </c>
    </row>
    <row r="8">
      <c r="A8" s="13" t="inlineStr">
        <is>
          <t>Total Revenue (€)</t>
        </is>
      </c>
      <c r="B8" s="8">
        <f>SUM(B4:B7)</f>
        <v/>
      </c>
      <c r="C8" s="8">
        <f>SUM(C4:C7)</f>
        <v/>
      </c>
      <c r="D8" s="8">
        <f>SUM(D4:D7)</f>
        <v/>
      </c>
      <c r="E8" s="8">
        <f>SUM(E4:E7)</f>
        <v/>
      </c>
      <c r="F8" s="8">
        <f>SUM(F4:F7)</f>
        <v/>
      </c>
      <c r="G8" s="8">
        <f>SUM(G4:G7)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USE OF FUNDS - €1.5M SEED ROUND</t>
        </is>
      </c>
    </row>
    <row r="3">
      <c r="A3" s="12" t="inlineStr">
        <is>
          <t>Category</t>
        </is>
      </c>
      <c r="B3" s="12" t="inlineStr">
        <is>
          <t>Amount (€)</t>
        </is>
      </c>
      <c r="C3" s="12" t="inlineStr">
        <is>
          <t>Percentage</t>
        </is>
      </c>
      <c r="D3" s="12" t="inlineStr">
        <is>
          <t>Timeline</t>
        </is>
      </c>
    </row>
    <row r="4">
      <c r="A4" s="14" t="inlineStr">
        <is>
          <t>Product Development</t>
        </is>
      </c>
      <c r="B4" s="15" t="n">
        <v>525000</v>
      </c>
      <c r="C4" s="16" t="n">
        <v>0.35</v>
      </c>
      <c r="D4" s="14" t="inlineStr">
        <is>
          <t>Q1-Q4 2026</t>
        </is>
      </c>
    </row>
    <row r="5">
      <c r="A5" s="14" t="inlineStr">
        <is>
          <t>Sales &amp; Marketing</t>
        </is>
      </c>
      <c r="B5" s="15" t="n">
        <v>375000</v>
      </c>
      <c r="C5" s="16" t="n">
        <v>0.25</v>
      </c>
      <c r="D5" s="14" t="inlineStr">
        <is>
          <t>Q1 2026 onwards</t>
        </is>
      </c>
    </row>
    <row r="6">
      <c r="A6" s="14" t="inlineStr">
        <is>
          <t>Team Expansion</t>
        </is>
      </c>
      <c r="B6" s="15" t="n">
        <v>300000</v>
      </c>
      <c r="C6" s="16" t="n">
        <v>0.2</v>
      </c>
      <c r="D6" s="14" t="inlineStr">
        <is>
          <t>Q2-Q4 2026</t>
        </is>
      </c>
    </row>
    <row r="7">
      <c r="A7" s="14" t="inlineStr">
        <is>
          <t>Infrastructure &amp; Operations</t>
        </is>
      </c>
      <c r="B7" s="15" t="n">
        <v>150000</v>
      </c>
      <c r="C7" s="16" t="n">
        <v>0.1</v>
      </c>
      <c r="D7" s="14" t="inlineStr">
        <is>
          <t>Q1-Q2 2026</t>
        </is>
      </c>
    </row>
    <row r="8">
      <c r="A8" s="14" t="inlineStr">
        <is>
          <t>Working Capital</t>
        </is>
      </c>
      <c r="B8" s="15" t="n">
        <v>112500</v>
      </c>
      <c r="C8" s="16" t="n">
        <v>0.075</v>
      </c>
      <c r="D8" s="14" t="inlineStr">
        <is>
          <t>Buffer</t>
        </is>
      </c>
    </row>
    <row r="9">
      <c r="A9" s="14" t="inlineStr">
        <is>
          <t>Legal &amp; Compliance</t>
        </is>
      </c>
      <c r="B9" s="15" t="n">
        <v>37500</v>
      </c>
      <c r="C9" s="16" t="n">
        <v>0.025</v>
      </c>
      <c r="D9" s="14" t="inlineStr">
        <is>
          <t>Q1 2026</t>
        </is>
      </c>
    </row>
    <row r="10">
      <c r="A10" s="13" t="inlineStr">
        <is>
          <t>TOTAL</t>
        </is>
      </c>
      <c r="B10" s="17">
        <f>SUM(B4:B9)</f>
        <v/>
      </c>
      <c r="C10" s="18">
        <f>SUM(C4:C9)</f>
        <v/>
      </c>
      <c r="D10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KEY ASSUMPTIONS</t>
        </is>
      </c>
    </row>
    <row r="3">
      <c r="A3" s="6" t="inlineStr">
        <is>
          <t>Revenue Growth</t>
        </is>
      </c>
      <c r="B3" s="19" t="inlineStr">
        <is>
          <t>35% Y1, 45% Y2, 50% Y3, 40% Y4, 30% Y5</t>
        </is>
      </c>
    </row>
    <row r="4">
      <c r="A4" s="6" t="inlineStr">
        <is>
          <t>SaaS Revenue Share</t>
        </is>
      </c>
      <c r="B4" s="19" t="inlineStr">
        <is>
          <t>15% (2024) → 43% (2029)</t>
        </is>
      </c>
    </row>
    <row r="5">
      <c r="A5" s="6" t="inlineStr">
        <is>
          <t>Gross Margin Improvement</t>
        </is>
      </c>
      <c r="B5" s="19" t="inlineStr">
        <is>
          <t>42% → 60% (scale &amp; automation)</t>
        </is>
      </c>
    </row>
    <row r="6">
      <c r="A6" s="6" t="inlineStr">
        <is>
          <t>Customer Acquisition Cost</t>
        </is>
      </c>
      <c r="B6" s="19" t="inlineStr">
        <is>
          <t>€850 → €450 (brand awareness)</t>
        </is>
      </c>
    </row>
    <row r="7">
      <c r="A7" s="6" t="inlineStr">
        <is>
          <t>Customer Lifetime Value</t>
        </is>
      </c>
      <c r="B7" s="19" t="inlineStr">
        <is>
          <t>€4,200 → €8,500</t>
        </is>
      </c>
    </row>
    <row r="8">
      <c r="A8" s="6" t="inlineStr">
        <is>
          <t>LTV/CAC Ratio</t>
        </is>
      </c>
      <c r="B8" s="19" t="inlineStr">
        <is>
          <t>4.9x → 18.9x</t>
        </is>
      </c>
    </row>
    <row r="9">
      <c r="A9" s="6" t="inlineStr">
        <is>
          <t>Churn Rate</t>
        </is>
      </c>
      <c r="B9" s="19" t="inlineStr">
        <is>
          <t>8% → 4% annual</t>
        </is>
      </c>
    </row>
    <row r="10">
      <c r="A10" s="6" t="inlineStr">
        <is>
          <t>Avg Revenue Per Customer</t>
        </is>
      </c>
      <c r="B10" s="19" t="inlineStr">
        <is>
          <t>€3,026 (2024) → €4,545 (2029)</t>
        </is>
      </c>
    </row>
    <row r="11">
      <c r="A11" s="6" t="inlineStr">
        <is>
          <t>Sales Cycle</t>
        </is>
      </c>
      <c r="B11" s="19" t="inlineStr">
        <is>
          <t>45 days B2B, 7 days B2C</t>
        </is>
      </c>
    </row>
    <row r="12">
      <c r="A12" s="6" t="inlineStr">
        <is>
          <t>Payment Terms</t>
        </is>
      </c>
      <c r="B12" s="19" t="inlineStr">
        <is>
          <t>Net 30 (B2B), Prepaid (SaaS)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CAP TABLE - PRE &amp; POST SEED</t>
        </is>
      </c>
    </row>
    <row r="3">
      <c r="A3" s="20" t="inlineStr">
        <is>
          <t>PRE-SEED (Current)</t>
        </is>
      </c>
    </row>
    <row r="4">
      <c r="A4" s="12" t="inlineStr">
        <is>
          <t>Shareholder</t>
        </is>
      </c>
      <c r="B4" s="12" t="inlineStr">
        <is>
          <t>Shares</t>
        </is>
      </c>
      <c r="C4" s="12" t="inlineStr">
        <is>
          <t>Ownership %</t>
        </is>
      </c>
      <c r="D4" s="12" t="inlineStr">
        <is>
          <t>Type</t>
        </is>
      </c>
    </row>
    <row r="5">
      <c r="A5" s="14" t="inlineStr">
        <is>
          <t>Ömer Hüseyin Coşkun (Founder)</t>
        </is>
      </c>
      <c r="B5" s="14" t="n">
        <v>800000</v>
      </c>
      <c r="C5" s="16" t="n">
        <v>0.8</v>
      </c>
      <c r="D5" s="14" t="inlineStr">
        <is>
          <t>Common</t>
        </is>
      </c>
    </row>
    <row r="6">
      <c r="A6" s="14" t="inlineStr">
        <is>
          <t>Reserved ESOP</t>
        </is>
      </c>
      <c r="B6" s="14" t="n">
        <v>100000</v>
      </c>
      <c r="C6" s="16" t="n">
        <v>0.1</v>
      </c>
      <c r="D6" s="14" t="inlineStr">
        <is>
          <t>Option Pool</t>
        </is>
      </c>
    </row>
    <row r="7">
      <c r="A7" s="14" t="inlineStr">
        <is>
          <t>Angel Investors</t>
        </is>
      </c>
      <c r="B7" s="14" t="n">
        <v>100000</v>
      </c>
      <c r="C7" s="16" t="n">
        <v>0.1</v>
      </c>
      <c r="D7" s="14" t="inlineStr">
        <is>
          <t>Preferred</t>
        </is>
      </c>
    </row>
    <row r="8">
      <c r="A8" s="14" t="inlineStr">
        <is>
          <t>TOTAL</t>
        </is>
      </c>
      <c r="B8" s="14" t="n">
        <v>1000000</v>
      </c>
      <c r="C8" s="16" t="n">
        <v>1</v>
      </c>
      <c r="D8" s="14" t="inlineStr"/>
    </row>
    <row r="11">
      <c r="A11" s="21" t="inlineStr">
        <is>
          <t>POST-SEED (After €1.5M @ €6M Pre-Money)</t>
        </is>
      </c>
    </row>
    <row r="12">
      <c r="A12" s="12" t="inlineStr">
        <is>
          <t>Shareholder</t>
        </is>
      </c>
      <c r="B12" s="12" t="inlineStr">
        <is>
          <t>Shares</t>
        </is>
      </c>
      <c r="C12" s="12" t="inlineStr">
        <is>
          <t>Ownership %</t>
        </is>
      </c>
      <c r="D12" s="12" t="inlineStr">
        <is>
          <t>Type</t>
        </is>
      </c>
    </row>
    <row r="13">
      <c r="A13" s="14" t="inlineStr">
        <is>
          <t>Ömer Hüseyin Coşkun (Founder)</t>
        </is>
      </c>
      <c r="B13" s="14" t="n">
        <v>800000</v>
      </c>
      <c r="C13" s="16" t="n">
        <v>0.64</v>
      </c>
      <c r="D13" s="14" t="inlineStr">
        <is>
          <t>Common</t>
        </is>
      </c>
    </row>
    <row r="14">
      <c r="A14" s="14" t="inlineStr">
        <is>
          <t>Reserved ESOP</t>
        </is>
      </c>
      <c r="B14" s="14" t="n">
        <v>100000</v>
      </c>
      <c r="C14" s="16" t="n">
        <v>0.08</v>
      </c>
      <c r="D14" s="14" t="inlineStr">
        <is>
          <t>Option Pool</t>
        </is>
      </c>
    </row>
    <row r="15">
      <c r="A15" s="14" t="inlineStr">
        <is>
          <t>Angel Investors</t>
        </is>
      </c>
      <c r="B15" s="14" t="n">
        <v>100000</v>
      </c>
      <c r="C15" s="16" t="n">
        <v>0.08</v>
      </c>
      <c r="D15" s="14" t="inlineStr">
        <is>
          <t>Preferred</t>
        </is>
      </c>
    </row>
    <row r="16">
      <c r="A16" s="14" t="inlineStr">
        <is>
          <t>Seed Investors (New)</t>
        </is>
      </c>
      <c r="B16" s="14" t="n">
        <v>250000</v>
      </c>
      <c r="C16" s="16" t="n">
        <v>0.2</v>
      </c>
      <c r="D16" s="14" t="inlineStr">
        <is>
          <t>Preferred</t>
        </is>
      </c>
    </row>
    <row r="17">
      <c r="A17" s="14" t="inlineStr">
        <is>
          <t>TOTAL</t>
        </is>
      </c>
      <c r="B17" s="14" t="n">
        <v>1250000</v>
      </c>
      <c r="C17" s="16" t="n">
        <v>1</v>
      </c>
      <c r="D17" s="14" t="inlineStr"/>
    </row>
    <row r="20">
      <c r="A20" s="22" t="inlineStr">
        <is>
          <t>VALUATION</t>
        </is>
      </c>
    </row>
    <row r="21">
      <c r="A21" t="inlineStr">
        <is>
          <t>Pre-Money Valuation</t>
        </is>
      </c>
      <c r="B21" s="23" t="n">
        <v>6000000</v>
      </c>
    </row>
    <row r="22">
      <c r="A22" t="inlineStr">
        <is>
          <t>Seed Investment</t>
        </is>
      </c>
      <c r="B22" s="23" t="n">
        <v>1500000</v>
      </c>
    </row>
    <row r="23">
      <c r="A23" t="inlineStr">
        <is>
          <t>Post-Money Valuation</t>
        </is>
      </c>
      <c r="B23" s="23">
        <f>B21+B22</f>
        <v/>
      </c>
    </row>
    <row r="24">
      <c r="A24" t="inlineStr">
        <is>
          <t>Price per Share</t>
        </is>
      </c>
      <c r="B24" s="24">
        <f>B21/1000000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2025-12-25T03:16:29Z</dcterms:created>
  <dcterms:modified xmlns:dcterms="http://purl.org/dc/terms/" xmlns:xsi="http://www.w3.org/2001/XMLSchema-instance" xsi:type="dcterms:W3CDTF">2025-12-25T03:16:29Z</dcterms:modified>
</cp:coreProperties>
</file>