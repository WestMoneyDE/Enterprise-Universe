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 €"/>
    <numFmt numFmtId="166" formatCode="#,##0.00 €"/>
  </numFmts>
  <fonts count="12">
    <font>
      <name val="Calibri"/>
      <family val="2"/>
      <color theme="1"/>
      <sz val="11"/>
      <scheme val="minor"/>
    </font>
    <font>
      <b val="1"/>
      <color rgb="001a1a2e"/>
      <sz val="20"/>
    </font>
    <font>
      <color rgb="00666666"/>
      <sz val="14"/>
    </font>
    <font>
      <color rgb="00888888"/>
      <sz val="10"/>
    </font>
    <font>
      <b val="1"/>
      <color rgb="00d4af37"/>
      <sz val="14"/>
    </font>
    <font>
      <b val="1"/>
      <color rgb="00FFFFFF"/>
      <sz val="11"/>
    </font>
    <font>
      <b val="1"/>
    </font>
    <font>
      <b val="1"/>
      <color rgb="0022c55e"/>
      <sz val="14"/>
    </font>
    <font>
      <b val="1"/>
      <sz val="14"/>
    </font>
    <font>
      <color rgb="000000FF"/>
    </font>
    <font/>
    <font>
      <color rgb="00888888"/>
      <sz val="9"/>
    </font>
  </fonts>
  <fills count="7">
    <fill>
      <patternFill/>
    </fill>
    <fill>
      <patternFill patternType="gray125"/>
    </fill>
    <fill>
      <patternFill patternType="solid">
        <fgColor rgb="00fff3cd"/>
      </patternFill>
    </fill>
    <fill>
      <patternFill patternType="solid">
        <fgColor rgb="001a1a2e"/>
      </patternFill>
    </fill>
    <fill>
      <patternFill patternType="solid">
        <fgColor rgb="00f0f0f0"/>
      </patternFill>
    </fill>
    <fill>
      <patternFill patternType="solid">
        <fgColor rgb="00d1fae5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6" fillId="4" borderId="1" pivotButton="0" quotePrefix="0" xfId="0"/>
    <xf numFmtId="3" fontId="6" fillId="4" borderId="1" pivotButton="0" quotePrefix="0" xfId="0"/>
    <xf numFmtId="164" fontId="6" fillId="4" borderId="1" pivotButton="0" quotePrefix="0" xfId="0"/>
    <xf numFmtId="165" fontId="6" fillId="4" borderId="1" pivotButton="0" quotePrefix="0" xfId="0"/>
    <xf numFmtId="0" fontId="7" fillId="5" borderId="0" pivotButton="0" quotePrefix="0" xfId="0"/>
    <xf numFmtId="0" fontId="0" fillId="6" borderId="1" pivotButton="0" quotePrefix="0" xfId="0"/>
    <xf numFmtId="3" fontId="0" fillId="6" borderId="1" pivotButton="0" quotePrefix="0" xfId="0"/>
    <xf numFmtId="164" fontId="0" fillId="6" borderId="1" pivotButton="0" quotePrefix="0" xfId="0"/>
    <xf numFmtId="165" fontId="0" fillId="6" borderId="1" pivotButton="0" quotePrefix="0" xfId="0"/>
    <xf numFmtId="0" fontId="8" fillId="0" borderId="0" pivotButton="0" quotePrefix="0" xfId="0"/>
    <xf numFmtId="0" fontId="6" fillId="0" borderId="0" pivotButton="0" quotePrefix="0" xfId="0"/>
    <xf numFmtId="165" fontId="9" fillId="0" borderId="0" pivotButton="0" quotePrefix="0" xfId="0"/>
    <xf numFmtId="165" fontId="10" fillId="0" borderId="0" pivotButton="0" quotePrefix="0" xfId="0"/>
    <xf numFmtId="166" fontId="10" fillId="0" borderId="0" pivotButton="0" quotePrefix="0" xfId="0"/>
    <xf numFmtId="3" fontId="10" fillId="0" borderId="0" pivotButton="0" quotePrefix="0" xfId="0"/>
    <xf numFmtId="0" fontId="5" fillId="3" borderId="1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2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ENTERPRISE UNIVERSE GMBH</t>
        </is>
      </c>
    </row>
    <row r="2">
      <c r="A2" s="2" t="inlineStr">
        <is>
          <t>Cap Table - Current &amp; Post-Investment</t>
        </is>
      </c>
    </row>
    <row r="3">
      <c r="A3" s="3" t="inlineStr">
        <is>
          <t>Contact: info@enterprise-universe.com</t>
        </is>
      </c>
    </row>
    <row r="5">
      <c r="A5" s="4" t="inlineStr">
        <is>
          <t>CURRENT OWNERSHIP (PRE-SEED)</t>
        </is>
      </c>
    </row>
    <row r="6">
      <c r="A6" s="5" t="inlineStr">
        <is>
          <t>Shareholder</t>
        </is>
      </c>
      <c r="B6" s="5" t="inlineStr">
        <is>
          <t>Share Class</t>
        </is>
      </c>
      <c r="C6" s="5" t="inlineStr">
        <is>
          <t>Shares</t>
        </is>
      </c>
      <c r="D6" s="5" t="inlineStr">
        <is>
          <t>Ownership %</t>
        </is>
      </c>
      <c r="E6" s="5" t="inlineStr">
        <is>
          <t>Investment (€)</t>
        </is>
      </c>
      <c r="F6" s="5" t="inlineStr">
        <is>
          <t>Notes</t>
        </is>
      </c>
    </row>
    <row r="7">
      <c r="A7" s="6" t="inlineStr">
        <is>
          <t>Ömer Hüseyin Coşkun</t>
        </is>
      </c>
      <c r="B7" s="6" t="inlineStr">
        <is>
          <t>Common</t>
        </is>
      </c>
      <c r="C7" s="7" t="n">
        <v>800000</v>
      </c>
      <c r="D7" s="8">
        <f>C7/C10</f>
        <v/>
      </c>
      <c r="E7" s="9" t="n">
        <v>50000</v>
      </c>
      <c r="F7" s="6" t="inlineStr">
        <is>
          <t>Founder, CEO</t>
        </is>
      </c>
    </row>
    <row r="8">
      <c r="A8" s="6" t="inlineStr">
        <is>
          <t>Reserved ESOP</t>
        </is>
      </c>
      <c r="B8" s="6" t="inlineStr">
        <is>
          <t>Options</t>
        </is>
      </c>
      <c r="C8" s="7" t="n">
        <v>100000</v>
      </c>
      <c r="D8" s="8">
        <f>C8/C10</f>
        <v/>
      </c>
      <c r="E8" s="9" t="n">
        <v>0</v>
      </c>
      <c r="F8" s="6" t="inlineStr">
        <is>
          <t>Employee Pool</t>
        </is>
      </c>
    </row>
    <row r="9">
      <c r="A9" s="6" t="inlineStr">
        <is>
          <t>Angel Investors</t>
        </is>
      </c>
      <c r="B9" s="6" t="inlineStr">
        <is>
          <t>Preferred</t>
        </is>
      </c>
      <c r="C9" s="7" t="n">
        <v>100000</v>
      </c>
      <c r="D9" s="8">
        <f>C9/C10</f>
        <v/>
      </c>
      <c r="E9" s="9" t="n">
        <v>150000</v>
      </c>
      <c r="F9" s="6" t="inlineStr">
        <is>
          <t>Pre-Seed 2024</t>
        </is>
      </c>
    </row>
    <row r="10">
      <c r="A10" s="10" t="inlineStr">
        <is>
          <t>TOTAL</t>
        </is>
      </c>
      <c r="B10" s="10" t="inlineStr"/>
      <c r="C10" s="11">
        <f>SUM(C7:C9)</f>
        <v/>
      </c>
      <c r="D10" s="12">
        <f>SUM(D7:D9)</f>
        <v/>
      </c>
      <c r="E10" s="13">
        <f>SUM(E7:E9)</f>
        <v/>
      </c>
      <c r="F10" s="10" t="inlineStr"/>
    </row>
    <row r="13">
      <c r="A13" s="14" t="inlineStr">
        <is>
          <t>POST-SEED OWNERSHIP (After €1.5M @ €6M Pre-Money)</t>
        </is>
      </c>
    </row>
    <row r="14">
      <c r="A14" s="5" t="inlineStr">
        <is>
          <t>Shareholder</t>
        </is>
      </c>
      <c r="B14" s="5" t="inlineStr">
        <is>
          <t>Share Class</t>
        </is>
      </c>
      <c r="C14" s="5" t="inlineStr">
        <is>
          <t>Shares</t>
        </is>
      </c>
      <c r="D14" s="5" t="inlineStr">
        <is>
          <t>Ownership %</t>
        </is>
      </c>
      <c r="E14" s="5" t="inlineStr">
        <is>
          <t>Investment (€)</t>
        </is>
      </c>
      <c r="F14" s="5" t="inlineStr">
        <is>
          <t>Notes</t>
        </is>
      </c>
    </row>
    <row r="15">
      <c r="A15" s="6" t="inlineStr">
        <is>
          <t>Ömer Hüseyin Coşkun</t>
        </is>
      </c>
      <c r="B15" s="6" t="inlineStr">
        <is>
          <t>Common</t>
        </is>
      </c>
      <c r="C15" s="7" t="n">
        <v>800000</v>
      </c>
      <c r="D15" s="8">
        <f>C15/C19</f>
        <v/>
      </c>
      <c r="E15" s="9" t="n">
        <v>50000</v>
      </c>
      <c r="F15" s="6" t="inlineStr">
        <is>
          <t>Founder, CEO</t>
        </is>
      </c>
    </row>
    <row r="16">
      <c r="A16" s="6" t="inlineStr">
        <is>
          <t>Reserved ESOP</t>
        </is>
      </c>
      <c r="B16" s="6" t="inlineStr">
        <is>
          <t>Options</t>
        </is>
      </c>
      <c r="C16" s="7" t="n">
        <v>100000</v>
      </c>
      <c r="D16" s="8">
        <f>C16/C19</f>
        <v/>
      </c>
      <c r="E16" s="9" t="n">
        <v>0</v>
      </c>
      <c r="F16" s="6" t="inlineStr">
        <is>
          <t>Employee Pool</t>
        </is>
      </c>
    </row>
    <row r="17">
      <c r="A17" s="6" t="inlineStr">
        <is>
          <t>Angel Investors</t>
        </is>
      </c>
      <c r="B17" s="6" t="inlineStr">
        <is>
          <t>Preferred A</t>
        </is>
      </c>
      <c r="C17" s="7" t="n">
        <v>100000</v>
      </c>
      <c r="D17" s="8">
        <f>C17/C19</f>
        <v/>
      </c>
      <c r="E17" s="9" t="n">
        <v>150000</v>
      </c>
      <c r="F17" s="6" t="inlineStr">
        <is>
          <t>Pre-Seed 2024</t>
        </is>
      </c>
    </row>
    <row r="18">
      <c r="A18" s="15" t="inlineStr">
        <is>
          <t>Seed Investors</t>
        </is>
      </c>
      <c r="B18" s="15" t="inlineStr">
        <is>
          <t>Preferred B</t>
        </is>
      </c>
      <c r="C18" s="16" t="n">
        <v>250000</v>
      </c>
      <c r="D18" s="17">
        <f>C18/C19</f>
        <v/>
      </c>
      <c r="E18" s="18" t="n">
        <v>1500000</v>
      </c>
      <c r="F18" s="15" t="inlineStr">
        <is>
          <t>Seed 2026</t>
        </is>
      </c>
    </row>
    <row r="19">
      <c r="A19" s="10" t="inlineStr">
        <is>
          <t>TOTAL</t>
        </is>
      </c>
      <c r="B19" s="10" t="inlineStr"/>
      <c r="C19" s="11">
        <f>SUM(C15:C18)</f>
        <v/>
      </c>
      <c r="D19" s="12">
        <f>SUM(D15:D18)</f>
        <v/>
      </c>
      <c r="E19" s="13">
        <f>SUM(E15:E18)</f>
        <v/>
      </c>
      <c r="F19" s="10" t="inlineStr"/>
    </row>
    <row r="22">
      <c r="A22" s="19" t="inlineStr">
        <is>
          <t>VALUATION METRICS</t>
        </is>
      </c>
    </row>
    <row r="23">
      <c r="A23" s="20" t="inlineStr">
        <is>
          <t>Pre-Money Valuation</t>
        </is>
      </c>
      <c r="B23" s="21" t="n">
        <v>6000000</v>
      </c>
    </row>
    <row r="24">
      <c r="A24" s="20" t="inlineStr">
        <is>
          <t>Seed Investment</t>
        </is>
      </c>
      <c r="B24" s="21" t="n">
        <v>1500000</v>
      </c>
    </row>
    <row r="25">
      <c r="A25" s="20" t="inlineStr">
        <is>
          <t>Post-Money Valuation</t>
        </is>
      </c>
      <c r="B25" s="22">
        <f>B23+B24</f>
        <v/>
      </c>
    </row>
    <row r="26">
      <c r="A26" s="20" t="inlineStr">
        <is>
          <t>Price per Share</t>
        </is>
      </c>
      <c r="B26" s="23">
        <f>B23/C10</f>
        <v/>
      </c>
    </row>
    <row r="27">
      <c r="A27" s="20" t="inlineStr">
        <is>
          <t>New Shares Issued</t>
        </is>
      </c>
      <c r="B27" s="24">
        <f>B24/B26</f>
        <v/>
      </c>
    </row>
    <row r="28">
      <c r="A28" s="20" t="inlineStr">
        <is>
          <t>Total Shares Outstanding</t>
        </is>
      </c>
      <c r="B28" s="24">
        <f>C19</f>
        <v/>
      </c>
    </row>
    <row r="31">
      <c r="A31" s="19" t="inlineStr">
        <is>
          <t>SCENARIO ANALYSIS - FUTURE DILUTION</t>
        </is>
      </c>
    </row>
    <row r="32">
      <c r="A32" s="25" t="inlineStr">
        <is>
          <t>Scenario</t>
        </is>
      </c>
      <c r="B32" s="25" t="inlineStr">
        <is>
          <t>Round Size</t>
        </is>
      </c>
      <c r="C32" s="25" t="inlineStr">
        <is>
          <t>Pre-Money</t>
        </is>
      </c>
      <c r="D32" s="25" t="inlineStr">
        <is>
          <t>Post-Money</t>
        </is>
      </c>
      <c r="E32" s="25" t="inlineStr">
        <is>
          <t>Founder %</t>
        </is>
      </c>
      <c r="F32" s="25" t="inlineStr">
        <is>
          <t>Seed %</t>
        </is>
      </c>
    </row>
    <row r="33">
      <c r="A33" s="15" t="inlineStr">
        <is>
          <t>Post-Seed (Current)</t>
        </is>
      </c>
      <c r="B33" s="15" t="inlineStr">
        <is>
          <t>€1.5M</t>
        </is>
      </c>
      <c r="C33" s="15" t="inlineStr">
        <is>
          <t>€6.0M</t>
        </is>
      </c>
      <c r="D33" s="15" t="inlineStr">
        <is>
          <t>€7.5M</t>
        </is>
      </c>
      <c r="E33" s="15" t="inlineStr">
        <is>
          <t>64.0%</t>
        </is>
      </c>
      <c r="F33" s="15" t="inlineStr">
        <is>
          <t>20.0%</t>
        </is>
      </c>
    </row>
    <row r="34">
      <c r="A34" s="6" t="inlineStr">
        <is>
          <t>Series A (€5M)</t>
        </is>
      </c>
      <c r="B34" s="6" t="inlineStr">
        <is>
          <t>€5.0M</t>
        </is>
      </c>
      <c r="C34" s="6" t="inlineStr">
        <is>
          <t>€25.0M</t>
        </is>
      </c>
      <c r="D34" s="6" t="inlineStr">
        <is>
          <t>€30.0M</t>
        </is>
      </c>
      <c r="E34" s="6" t="inlineStr">
        <is>
          <t>53.3%</t>
        </is>
      </c>
      <c r="F34" s="6" t="inlineStr">
        <is>
          <t>16.7%</t>
        </is>
      </c>
    </row>
    <row r="35">
      <c r="A35" s="6" t="inlineStr">
        <is>
          <t>Series B (€15M)</t>
        </is>
      </c>
      <c r="B35" s="6" t="inlineStr">
        <is>
          <t>€15.0M</t>
        </is>
      </c>
      <c r="C35" s="6" t="inlineStr">
        <is>
          <t>€60.0M</t>
        </is>
      </c>
      <c r="D35" s="6" t="inlineStr">
        <is>
          <t>€75.0M</t>
        </is>
      </c>
      <c r="E35" s="6" t="inlineStr">
        <is>
          <t>42.7%</t>
        </is>
      </c>
      <c r="F35" s="6" t="inlineStr">
        <is>
          <t>13.3%</t>
        </is>
      </c>
    </row>
    <row r="36">
      <c r="A36" s="6" t="inlineStr">
        <is>
          <t>Series C (€30M)</t>
        </is>
      </c>
      <c r="B36" s="6" t="inlineStr">
        <is>
          <t>€30.0M</t>
        </is>
      </c>
      <c r="C36" s="6" t="inlineStr">
        <is>
          <t>€150.0M</t>
        </is>
      </c>
      <c r="D36" s="6" t="inlineStr">
        <is>
          <t>€180.0M</t>
        </is>
      </c>
      <c r="E36" s="6" t="inlineStr">
        <is>
          <t>35.5%</t>
        </is>
      </c>
      <c r="F36" s="6" t="inlineStr">
        <is>
          <t>11.1%</t>
        </is>
      </c>
    </row>
    <row r="39">
      <c r="A39" s="26" t="inlineStr">
        <is>
          <t>Contact: info@enterprise-universe.com | Confidential</t>
        </is>
      </c>
    </row>
  </sheetData>
  <mergeCells count="4">
    <mergeCell ref="A13:F13"/>
    <mergeCell ref="A2:F2"/>
    <mergeCell ref="A1:F1"/>
    <mergeCell ref="A5:F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2025-12-25T03:18:05Z</dcterms:created>
  <dcterms:modified xmlns:dcterms="http://purl.org/dc/terms/" xmlns:xsi="http://www.w3.org/2001/XMLSchema-instance" xsi:type="dcterms:W3CDTF">2025-12-25T03:18:05Z</dcterms:modified>
</cp:coreProperties>
</file>